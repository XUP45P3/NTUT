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n Lin\Downloads\"/>
    </mc:Choice>
  </mc:AlternateContent>
  <xr:revisionPtr revIDLastSave="0" documentId="13_ncr:1_{D8D43FE8-CF87-4222-A99D-8F361D98693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貢獻度統計" sheetId="2" r:id="rId1"/>
    <sheet name="工作分配明細" sheetId="1" r:id="rId2"/>
  </sheets>
  <definedNames>
    <definedName name="_xlnm.Print_Titles" localSheetId="1">工作分配明細!$4:$4</definedName>
    <definedName name="_xlnm.Print_Titles" localSheetId="0">貢獻度統計!$4:$4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2" l="1"/>
  <c r="D11" i="2"/>
  <c r="F5" i="2" l="1"/>
  <c r="F7" i="2"/>
  <c r="F6" i="2"/>
  <c r="F9" i="2"/>
  <c r="F10" i="2"/>
  <c r="F8" i="2"/>
  <c r="F11" i="2" l="1"/>
</calcChain>
</file>

<file path=xl/sharedStrings.xml><?xml version="1.0" encoding="utf-8"?>
<sst xmlns="http://schemas.openxmlformats.org/spreadsheetml/2006/main" count="111" uniqueCount="62">
  <si>
    <t>階段</t>
  </si>
  <si>
    <t>工作項目</t>
  </si>
  <si>
    <t>負責人</t>
  </si>
  <si>
    <t>一、提案發想與定位</t>
  </si>
  <si>
    <t>參賽主題發想與三案比選</t>
  </si>
  <si>
    <t>藺稹</t>
  </si>
  <si>
    <t>一頁式企劃</t>
  </si>
  <si>
    <t>提案架構圖</t>
  </si>
  <si>
    <t>二、現況分析（第壹章）</t>
  </si>
  <si>
    <t>現況分析</t>
  </si>
  <si>
    <t>訪談個案一</t>
  </si>
  <si>
    <t>訪談個案二</t>
  </si>
  <si>
    <t>臺北在地數據查證</t>
  </si>
  <si>
    <t>三、策略分析</t>
  </si>
  <si>
    <t>主軸與策略</t>
  </si>
  <si>
    <t>四、提案設計（第貳章）</t>
  </si>
  <si>
    <t>目標與定位</t>
  </si>
  <si>
    <t>四個核心元件與操作規格</t>
  </si>
  <si>
    <t>五、執行計畫（第參章）</t>
  </si>
  <si>
    <t>實施步驟與期程</t>
  </si>
  <si>
    <t>經費估算</t>
  </si>
  <si>
    <t>跨局處分工確認與補充</t>
  </si>
  <si>
    <t>六、效益評估（第肆章）</t>
  </si>
  <si>
    <t>效益評估</t>
  </si>
  <si>
    <t>七、影片</t>
  </si>
  <si>
    <t>影片簡報（共同製作）</t>
  </si>
  <si>
    <t>影片拍攝與剪輯</t>
  </si>
  <si>
    <t>八、統籌與交付</t>
  </si>
  <si>
    <t>企劃書骨架設計與分工規格</t>
  </si>
  <si>
    <t>作品封面圖</t>
  </si>
  <si>
    <t>報名表單、團隊資料與繳件上傳</t>
  </si>
  <si>
    <t>合計</t>
  </si>
  <si>
    <t>成員</t>
  </si>
  <si>
    <t>系所</t>
  </si>
  <si>
    <t>角色</t>
  </si>
  <si>
    <t>負責項目數</t>
  </si>
  <si>
    <t>配分合計</t>
  </si>
  <si>
    <t>貢獻度</t>
  </si>
  <si>
    <t>主要負責內容</t>
  </si>
  <si>
    <t>組長</t>
  </si>
  <si>
    <t>組員</t>
  </si>
  <si>
    <t>訪談個案二、影片拍攝與剪輯、影片簡報</t>
  </si>
  <si>
    <t>經費估算、效益評估</t>
  </si>
  <si>
    <t>訪談個案一、跨局處分工確認與補充、影片簡報</t>
  </si>
  <si>
    <t>臺北在地數據查證、主軸與策略</t>
  </si>
  <si>
    <t>邱柏儒</t>
    <phoneticPr fontId="1" type="noConversion"/>
  </si>
  <si>
    <t>黃啓睿</t>
    <phoneticPr fontId="1" type="noConversion"/>
  </si>
  <si>
    <t>黃光宇</t>
    <phoneticPr fontId="1" type="noConversion"/>
  </si>
  <si>
    <t>陳孟汝</t>
    <phoneticPr fontId="1" type="noConversion"/>
  </si>
  <si>
    <t>邵顗華</t>
    <phoneticPr fontId="1" type="noConversion"/>
  </si>
  <si>
    <t>第四組 分工表</t>
    <phoneticPr fontId="1" type="noConversion"/>
  </si>
  <si>
    <t>接案紅綠燈－青年自由工作者契約安心機制</t>
    <phoneticPr fontId="1" type="noConversion"/>
  </si>
  <si>
    <t>資財系</t>
    <phoneticPr fontId="1" type="noConversion"/>
  </si>
  <si>
    <t>文發系</t>
    <phoneticPr fontId="1" type="noConversion"/>
  </si>
  <si>
    <t>化工系</t>
    <phoneticPr fontId="1" type="noConversion"/>
  </si>
  <si>
    <t>電子系</t>
    <phoneticPr fontId="1" type="noConversion"/>
  </si>
  <si>
    <t>藺稹（組長）</t>
    <phoneticPr fontId="1" type="noConversion"/>
  </si>
  <si>
    <t>SWOT 與 TOWS 交叉推導</t>
  </si>
  <si>
    <t>90 秒影片腳本</t>
  </si>
  <si>
    <t>審稿、排版與 PDF 輸出</t>
  </si>
  <si>
    <t>提案發想、現況分析、目標與定位、SWOT、核心元件、骨架設計、審稿排版、封面圖、報名繳件</t>
  </si>
  <si>
    <t>實施步驟與期程、90 秒影片腳本、影片簡報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</si>
</sst>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 x14ac:knownFonts="1">
    <font>
      <sz val="11"/>
      <color theme="1"/>
      <name val="Calibri"/>
      <family val="2"/>
      <charset val="1"/>
    </font>
    <font>
      <sz val="9"/>
      <name val="細明體"/>
      <family val="3"/>
      <charset val="136"/>
    </font>
    <font>
      <b/>
      <sz val="18"/>
      <color rgb="FF1F3864"/>
      <name val="標楷體"/>
      <family val="4"/>
      <charset val="136"/>
    </font>
    <font>
      <sz val="18"/>
      <color theme="1"/>
      <name val="標楷體"/>
      <family val="4"/>
      <charset val="136"/>
    </font>
    <font>
      <sz val="18"/>
      <color rgb="FF595959"/>
      <name val="標楷體"/>
      <family val="4"/>
      <charset val="136"/>
    </font>
    <font>
      <b/>
      <sz val="18"/>
      <color rgb="FFFFFFFF"/>
      <name val="標楷體"/>
      <family val="4"/>
      <charset val="136"/>
    </font>
    <font>
      <sz val="18"/>
      <name val="標楷體"/>
      <family val="4"/>
      <charset val="136"/>
    </font>
    <font>
      <sz val="16"/>
      <color theme="1"/>
      <name val="標楷體"/>
      <family val="4"/>
      <charset val="136"/>
    </font>
    <font>
      <b/>
      <sz val="16"/>
      <color rgb="FFFFFFFF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sz val="16"/>
      <color rgb="FF595959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/>
    <xf numFmtId="0" fontId="8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各成員貢獻度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貢獻度統計!$F$4</c:f>
              <c:strCache>
                <c:ptCount val="1"/>
                <c:pt idx="0">
                  <c:v>貢獻度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貢獻度統計!$A$5:$A$10</c:f>
              <c:strCache>
                <c:ptCount val="6"/>
                <c:pt idx="0">
                  <c:v>藺稹</c:v>
                </c:pt>
                <c:pt idx="1">
                  <c:v>邵顗華</c:v>
                </c:pt>
                <c:pt idx="2">
                  <c:v>陳孟汝</c:v>
                </c:pt>
                <c:pt idx="3">
                  <c:v>黃啓睿</c:v>
                </c:pt>
                <c:pt idx="4">
                  <c:v>邱柏儒</c:v>
                </c:pt>
                <c:pt idx="5">
                  <c:v>黃光宇</c:v>
                </c:pt>
              </c:strCache>
            </c:strRef>
          </c:cat>
          <c:val>
            <c:numRef>
              <c:f>貢獻度統計!$F$5:$F$10</c:f>
              <c:numCache>
                <c:formatCode>0.0%</c:formatCode>
                <c:ptCount val="6"/>
                <c:pt idx="0">
                  <c:v>0.34</c:v>
                </c:pt>
                <c:pt idx="1">
                  <c:v>0.15</c:v>
                </c:pt>
                <c:pt idx="2">
                  <c:v>0.14000000000000001</c:v>
                </c:pt>
                <c:pt idx="3">
                  <c:v>0.13</c:v>
                </c:pt>
                <c:pt idx="4">
                  <c:v>0.12</c:v>
                </c:pt>
                <c:pt idx="5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4-4905-823A-FBF05D0CBF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6820506"/>
        <c:axId val="31001794"/>
      </c:barChart>
      <c:catAx>
        <c:axId val="7682050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001794"/>
        <c:crosses val="autoZero"/>
        <c:auto val="1"/>
        <c:lblAlgn val="ctr"/>
        <c:lblOffset val="100"/>
        <c:noMultiLvlLbl val="0"/>
      </c:catAx>
      <c:valAx>
        <c:axId val="3100179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82050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11</xdr:row>
      <xdr:rowOff>123825</xdr:rowOff>
    </xdr:from>
    <xdr:to>
      <xdr:col>6</xdr:col>
      <xdr:colOff>9515475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"/>
  <sheetViews>
    <sheetView tabSelected="1" zoomScaleNormal="100" workbookViewId="0">
      <selection sqref="A1:G1"/>
    </sheetView>
  </sheetViews>
  <sheetFormatPr defaultColWidth="8.7109375" defaultRowHeight="21" x14ac:dyDescent="0.3"/>
  <cols>
    <col min="1" max="2" width="11.5703125" style="13" bestFit="1" customWidth="1"/>
    <col min="3" max="3" width="8.5703125" style="13" bestFit="1" customWidth="1"/>
    <col min="4" max="4" width="19.42578125" style="13" bestFit="1" customWidth="1"/>
    <col min="5" max="5" width="15.7109375" style="13" bestFit="1" customWidth="1"/>
    <col min="6" max="6" width="12.5703125" style="13" bestFit="1" customWidth="1"/>
    <col min="7" max="7" width="149.42578125" style="13" bestFit="1" customWidth="1"/>
    <col min="8" max="16384" width="8.7109375" style="13"/>
  </cols>
  <sheetData>
    <row r="1" spans="1:7" ht="25.5" x14ac:dyDescent="0.4">
      <c r="A1" s="1" t="s">
        <v>50</v>
      </c>
      <c r="B1" s="1"/>
      <c r="C1" s="1"/>
      <c r="D1" s="1"/>
      <c r="E1" s="1"/>
      <c r="F1" s="1"/>
      <c r="G1" s="1"/>
    </row>
    <row r="2" spans="1:7" ht="25.5" x14ac:dyDescent="0.4">
      <c r="A2" s="2" t="s">
        <v>51</v>
      </c>
      <c r="B2" s="2"/>
      <c r="C2" s="2"/>
      <c r="D2" s="2"/>
      <c r="E2" s="2"/>
      <c r="F2" s="2"/>
      <c r="G2" s="2"/>
    </row>
    <row r="3" spans="1:7" ht="25.5" x14ac:dyDescent="0.4">
      <c r="A3" s="20"/>
      <c r="B3" s="20"/>
      <c r="C3" s="20"/>
    </row>
    <row r="4" spans="1:7" x14ac:dyDescent="0.3">
      <c r="A4" s="14" t="s">
        <v>32</v>
      </c>
      <c r="B4" s="14" t="s">
        <v>33</v>
      </c>
      <c r="C4" s="14" t="s">
        <v>34</v>
      </c>
      <c r="D4" s="14" t="s">
        <v>35</v>
      </c>
      <c r="E4" s="14" t="s">
        <v>36</v>
      </c>
      <c r="F4" s="14" t="s">
        <v>37</v>
      </c>
      <c r="G4" s="14" t="s">
        <v>38</v>
      </c>
    </row>
    <row r="5" spans="1:7" x14ac:dyDescent="0.3">
      <c r="A5" s="4" t="s">
        <v>5</v>
      </c>
      <c r="B5" s="15" t="s">
        <v>52</v>
      </c>
      <c r="C5" s="4" t="s">
        <v>39</v>
      </c>
      <c r="D5" s="5">
        <v>11</v>
      </c>
      <c r="E5" s="5">
        <v>34</v>
      </c>
      <c r="F5" s="6">
        <f t="shared" ref="F5:F10" si="0">IF($E$11=0,0,E5/$E$11)</f>
        <v>0.34</v>
      </c>
      <c r="G5" s="16" t="s">
        <v>60</v>
      </c>
    </row>
    <row r="6" spans="1:7" x14ac:dyDescent="0.3">
      <c r="A6" s="4" t="s">
        <v>49</v>
      </c>
      <c r="B6" s="15" t="s">
        <v>53</v>
      </c>
      <c r="C6" s="4" t="s">
        <v>40</v>
      </c>
      <c r="D6" s="5">
        <v>3</v>
      </c>
      <c r="E6" s="5">
        <v>15</v>
      </c>
      <c r="F6" s="6">
        <f t="shared" si="0"/>
        <v>0.15</v>
      </c>
      <c r="G6" s="16" t="s">
        <v>41</v>
      </c>
    </row>
    <row r="7" spans="1:7" x14ac:dyDescent="0.3">
      <c r="A7" s="4" t="s">
        <v>48</v>
      </c>
      <c r="B7" s="15" t="s">
        <v>53</v>
      </c>
      <c r="C7" s="4" t="s">
        <v>40</v>
      </c>
      <c r="D7" s="5">
        <v>3</v>
      </c>
      <c r="E7" s="5">
        <v>14</v>
      </c>
      <c r="F7" s="6">
        <f t="shared" si="0"/>
        <v>0.14000000000000001</v>
      </c>
      <c r="G7" s="16" t="s">
        <v>61</v>
      </c>
    </row>
    <row r="8" spans="1:7" x14ac:dyDescent="0.3">
      <c r="A8" s="4" t="s">
        <v>46</v>
      </c>
      <c r="B8" s="15" t="s">
        <v>54</v>
      </c>
      <c r="C8" s="4" t="s">
        <v>40</v>
      </c>
      <c r="D8" s="5">
        <v>2</v>
      </c>
      <c r="E8" s="5">
        <v>13</v>
      </c>
      <c r="F8" s="6">
        <f t="shared" si="0"/>
        <v>0.13</v>
      </c>
      <c r="G8" s="16" t="s">
        <v>42</v>
      </c>
    </row>
    <row r="9" spans="1:7" x14ac:dyDescent="0.3">
      <c r="A9" s="4" t="s">
        <v>45</v>
      </c>
      <c r="B9" s="15" t="s">
        <v>54</v>
      </c>
      <c r="C9" s="4" t="s">
        <v>40</v>
      </c>
      <c r="D9" s="5">
        <v>3</v>
      </c>
      <c r="E9" s="5">
        <v>12</v>
      </c>
      <c r="F9" s="6">
        <f t="shared" si="0"/>
        <v>0.12</v>
      </c>
      <c r="G9" s="16" t="s">
        <v>43</v>
      </c>
    </row>
    <row r="10" spans="1:7" x14ac:dyDescent="0.3">
      <c r="A10" s="4" t="s">
        <v>47</v>
      </c>
      <c r="B10" s="15" t="s">
        <v>55</v>
      </c>
      <c r="C10" s="4" t="s">
        <v>40</v>
      </c>
      <c r="D10" s="5">
        <v>2</v>
      </c>
      <c r="E10" s="5">
        <v>12</v>
      </c>
      <c r="F10" s="6">
        <f t="shared" si="0"/>
        <v>0.12</v>
      </c>
      <c r="G10" s="16" t="s">
        <v>44</v>
      </c>
    </row>
    <row r="11" spans="1:7" x14ac:dyDescent="0.3">
      <c r="A11" s="7" t="s">
        <v>31</v>
      </c>
      <c r="B11" s="17"/>
      <c r="C11" s="7"/>
      <c r="D11" s="8">
        <f>SUM(D5:D10)</f>
        <v>24</v>
      </c>
      <c r="E11" s="8">
        <f>SUM(E5:E10)</f>
        <v>100</v>
      </c>
      <c r="F11" s="9">
        <f>SUM(F5:F10)</f>
        <v>1</v>
      </c>
      <c r="G11" s="18"/>
    </row>
  </sheetData>
  <mergeCells count="2">
    <mergeCell ref="A1:G1"/>
    <mergeCell ref="A2:G2"/>
  </mergeCells>
  <phoneticPr fontId="1" type="noConversion"/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8.7109375" defaultRowHeight="25.5" x14ac:dyDescent="0.4"/>
  <cols>
    <col min="1" max="1" width="43.42578125" style="10" bestFit="1" customWidth="1"/>
    <col min="2" max="2" width="55" style="10" bestFit="1" customWidth="1"/>
    <col min="3" max="3" width="24.140625" style="10" bestFit="1" customWidth="1"/>
    <col min="4" max="16384" width="8.7109375" style="10"/>
  </cols>
  <sheetData>
    <row r="1" spans="1:3" x14ac:dyDescent="0.4">
      <c r="A1" s="1" t="s">
        <v>50</v>
      </c>
      <c r="B1" s="1"/>
      <c r="C1" s="1"/>
    </row>
    <row r="2" spans="1:3" x14ac:dyDescent="0.4">
      <c r="A2" s="2" t="s">
        <v>51</v>
      </c>
      <c r="B2" s="2"/>
      <c r="C2" s="2"/>
    </row>
    <row r="4" spans="1:3" x14ac:dyDescent="0.4">
      <c r="A4" s="11" t="s">
        <v>0</v>
      </c>
      <c r="B4" s="11" t="s">
        <v>1</v>
      </c>
      <c r="C4" s="11" t="s">
        <v>2</v>
      </c>
    </row>
    <row r="5" spans="1:3" x14ac:dyDescent="0.4">
      <c r="A5" s="19" t="s">
        <v>3</v>
      </c>
      <c r="B5" s="12" t="s">
        <v>4</v>
      </c>
      <c r="C5" s="3" t="s">
        <v>56</v>
      </c>
    </row>
    <row r="6" spans="1:3" x14ac:dyDescent="0.4">
      <c r="A6" s="19" t="s">
        <v>3</v>
      </c>
      <c r="B6" s="12" t="s">
        <v>6</v>
      </c>
      <c r="C6" s="3" t="s">
        <v>56</v>
      </c>
    </row>
    <row r="7" spans="1:3" x14ac:dyDescent="0.4">
      <c r="A7" s="19" t="s">
        <v>3</v>
      </c>
      <c r="B7" s="12" t="s">
        <v>7</v>
      </c>
      <c r="C7" s="3" t="s">
        <v>56</v>
      </c>
    </row>
    <row r="8" spans="1:3" x14ac:dyDescent="0.4">
      <c r="A8" s="19" t="s">
        <v>8</v>
      </c>
      <c r="B8" s="12" t="s">
        <v>9</v>
      </c>
      <c r="C8" s="3" t="s">
        <v>56</v>
      </c>
    </row>
    <row r="9" spans="1:3" x14ac:dyDescent="0.4">
      <c r="A9" s="19" t="s">
        <v>8</v>
      </c>
      <c r="B9" s="12" t="s">
        <v>10</v>
      </c>
      <c r="C9" s="3" t="s">
        <v>45</v>
      </c>
    </row>
    <row r="10" spans="1:3" x14ac:dyDescent="0.4">
      <c r="A10" s="19" t="s">
        <v>8</v>
      </c>
      <c r="B10" s="12" t="s">
        <v>11</v>
      </c>
      <c r="C10" s="3" t="s">
        <v>49</v>
      </c>
    </row>
    <row r="11" spans="1:3" x14ac:dyDescent="0.4">
      <c r="A11" s="19" t="s">
        <v>8</v>
      </c>
      <c r="B11" s="12" t="s">
        <v>12</v>
      </c>
      <c r="C11" s="3" t="s">
        <v>47</v>
      </c>
    </row>
    <row r="12" spans="1:3" x14ac:dyDescent="0.4">
      <c r="A12" s="19" t="s">
        <v>13</v>
      </c>
      <c r="B12" s="12" t="s">
        <v>57</v>
      </c>
      <c r="C12" s="3" t="s">
        <v>56</v>
      </c>
    </row>
    <row r="13" spans="1:3" x14ac:dyDescent="0.4">
      <c r="A13" s="19" t="s">
        <v>13</v>
      </c>
      <c r="B13" s="12" t="s">
        <v>14</v>
      </c>
      <c r="C13" s="3" t="s">
        <v>47</v>
      </c>
    </row>
    <row r="14" spans="1:3" x14ac:dyDescent="0.4">
      <c r="A14" s="19" t="s">
        <v>15</v>
      </c>
      <c r="B14" s="12" t="s">
        <v>16</v>
      </c>
      <c r="C14" s="3" t="s">
        <v>56</v>
      </c>
    </row>
    <row r="15" spans="1:3" x14ac:dyDescent="0.4">
      <c r="A15" s="19" t="s">
        <v>15</v>
      </c>
      <c r="B15" s="12" t="s">
        <v>17</v>
      </c>
      <c r="C15" s="3" t="s">
        <v>56</v>
      </c>
    </row>
    <row r="16" spans="1:3" x14ac:dyDescent="0.4">
      <c r="A16" s="19" t="s">
        <v>18</v>
      </c>
      <c r="B16" s="12" t="s">
        <v>19</v>
      </c>
      <c r="C16" s="3" t="s">
        <v>48</v>
      </c>
    </row>
    <row r="17" spans="1:3" x14ac:dyDescent="0.4">
      <c r="A17" s="19" t="s">
        <v>18</v>
      </c>
      <c r="B17" s="12" t="s">
        <v>20</v>
      </c>
      <c r="C17" s="3" t="s">
        <v>46</v>
      </c>
    </row>
    <row r="18" spans="1:3" x14ac:dyDescent="0.4">
      <c r="A18" s="19" t="s">
        <v>18</v>
      </c>
      <c r="B18" s="12" t="s">
        <v>21</v>
      </c>
      <c r="C18" s="3" t="s">
        <v>45</v>
      </c>
    </row>
    <row r="19" spans="1:3" x14ac:dyDescent="0.4">
      <c r="A19" s="19" t="s">
        <v>22</v>
      </c>
      <c r="B19" s="12" t="s">
        <v>23</v>
      </c>
      <c r="C19" s="3" t="s">
        <v>46</v>
      </c>
    </row>
    <row r="20" spans="1:3" x14ac:dyDescent="0.4">
      <c r="A20" s="19" t="s">
        <v>24</v>
      </c>
      <c r="B20" s="12" t="s">
        <v>58</v>
      </c>
      <c r="C20" s="3" t="s">
        <v>48</v>
      </c>
    </row>
    <row r="21" spans="1:3" x14ac:dyDescent="0.4">
      <c r="A21" s="19" t="s">
        <v>24</v>
      </c>
      <c r="B21" s="12" t="s">
        <v>25</v>
      </c>
      <c r="C21" s="3" t="s">
        <v>48</v>
      </c>
    </row>
    <row r="22" spans="1:3" x14ac:dyDescent="0.4">
      <c r="A22" s="19" t="s">
        <v>24</v>
      </c>
      <c r="B22" s="12" t="s">
        <v>25</v>
      </c>
      <c r="C22" s="3" t="s">
        <v>49</v>
      </c>
    </row>
    <row r="23" spans="1:3" x14ac:dyDescent="0.4">
      <c r="A23" s="19" t="s">
        <v>24</v>
      </c>
      <c r="B23" s="12" t="s">
        <v>25</v>
      </c>
      <c r="C23" s="3" t="s">
        <v>45</v>
      </c>
    </row>
    <row r="24" spans="1:3" x14ac:dyDescent="0.4">
      <c r="A24" s="19" t="s">
        <v>24</v>
      </c>
      <c r="B24" s="12" t="s">
        <v>26</v>
      </c>
      <c r="C24" s="3" t="s">
        <v>49</v>
      </c>
    </row>
    <row r="25" spans="1:3" x14ac:dyDescent="0.4">
      <c r="A25" s="19" t="s">
        <v>27</v>
      </c>
      <c r="B25" s="12" t="s">
        <v>28</v>
      </c>
      <c r="C25" s="3" t="s">
        <v>56</v>
      </c>
    </row>
    <row r="26" spans="1:3" x14ac:dyDescent="0.4">
      <c r="A26" s="19" t="s">
        <v>27</v>
      </c>
      <c r="B26" s="12" t="s">
        <v>59</v>
      </c>
      <c r="C26" s="3" t="s">
        <v>56</v>
      </c>
    </row>
    <row r="27" spans="1:3" x14ac:dyDescent="0.4">
      <c r="A27" s="19" t="s">
        <v>27</v>
      </c>
      <c r="B27" s="12" t="s">
        <v>29</v>
      </c>
      <c r="C27" s="3" t="s">
        <v>56</v>
      </c>
    </row>
    <row r="28" spans="1:3" x14ac:dyDescent="0.4">
      <c r="A28" s="19" t="s">
        <v>27</v>
      </c>
      <c r="B28" s="12" t="s">
        <v>30</v>
      </c>
      <c r="C28" s="3" t="s">
        <v>56</v>
      </c>
    </row>
  </sheetData>
  <mergeCells count="2">
    <mergeCell ref="A1:C1"/>
    <mergeCell ref="A2:C2"/>
  </mergeCells>
  <phoneticPr fontId="1" type="noConversion"/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貢獻度統計</vt:lpstr>
      <vt:lpstr>工作分配明細</vt:lpstr>
      <vt:lpstr>工作分配明細!Print_Titles</vt:lpstr>
      <vt:lpstr>貢獻度統計!Print_Titles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Jen Lin</cp:lastModifiedBy>
  <cp:revision>1</cp:revision>
  <dcterms:created xsi:type="dcterms:W3CDTF">2026-10-15T03:23:24Z</dcterms:created>
  <dcterms:modified xsi:type="dcterms:W3CDTF">2026-10-15T03:39:51Z</dcterms:modified>
  <dc:language>en-US</dc:language>
</cp:coreProperties>
</file>